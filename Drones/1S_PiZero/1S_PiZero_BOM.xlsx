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4040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0" borderId="0" pivotButton="0" quotePrefix="0" xfId="0"/>
    <xf numFmtId="164" fontId="2" fillId="0" borderId="0" pivotButton="0" quotePrefix="0" xfId="0"/>
    <xf numFmtId="164" fontId="3" fillId="0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dxfs count="1"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8" customWidth="1" min="2" max="2"/>
    <col width="6" customWidth="1" min="3" max="3"/>
    <col width="10" customWidth="1" min="4" max="4"/>
    <col width="10" customWidth="1" min="5" max="5"/>
    <col width="11" customWidth="1" min="6" max="6"/>
    <col width="90" customWidth="1" min="7" max="7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 (g)</t>
        </is>
      </c>
      <c r="E1" s="1" t="inlineStr">
        <is>
          <t>Total (g)</t>
        </is>
      </c>
      <c r="F1" s="1" t="inlineStr">
        <is>
          <t>Status</t>
        </is>
      </c>
      <c r="G1" s="1" t="inlineStr">
        <is>
          <t>Basis / link</t>
        </is>
      </c>
    </row>
    <row r="2">
      <c r="A2" s="2" t="inlineStr">
        <is>
          <t>Battery</t>
        </is>
      </c>
      <c r="B2" s="2" t="inlineStr">
        <is>
          <t>Molicel INR-18650-P30B (1S)</t>
        </is>
      </c>
      <c r="C2" s="2" t="n">
        <v>1</v>
      </c>
      <c r="D2" s="3" t="n">
        <v>48</v>
      </c>
      <c r="E2" s="3">
        <f>C2*D2</f>
        <v/>
      </c>
      <c r="F2" s="2" t="inlineStr">
        <is>
          <t>Given</t>
        </is>
      </c>
      <c r="G2" s="2" t="inlineStr">
        <is>
          <t>https://www.molicel.com/inr-18650-p30b/</t>
        </is>
      </c>
    </row>
    <row r="3">
      <c r="A3" s="2" t="inlineStr">
        <is>
          <t>Motor</t>
        </is>
      </c>
      <c r="B3" s="2" t="inlineStr">
        <is>
          <t>RCINPOWER GTS V3 1203 11500 KV</t>
        </is>
      </c>
      <c r="C3" s="2" t="n">
        <v>4</v>
      </c>
      <c r="D3" s="3" t="n">
        <v>4.5</v>
      </c>
      <c r="E3" s="3">
        <f>C3*D3</f>
        <v/>
      </c>
      <c r="F3" s="2" t="inlineStr">
        <is>
          <t>Given</t>
        </is>
      </c>
      <c r="G3" s="2" t="inlineStr">
        <is>
          <t>https://www.rcinpower.com/G-SERIES/65.html</t>
        </is>
      </c>
    </row>
    <row r="4">
      <c r="A4" s="2" t="inlineStr">
        <is>
          <t>Propeller</t>
        </is>
      </c>
      <c r="B4" s="2" t="inlineStr">
        <is>
          <t>Gemfan 2520 Hurricane, 3-blade</t>
        </is>
      </c>
      <c r="C4" s="2" t="n">
        <v>4</v>
      </c>
      <c r="D4" s="3" t="n">
        <v>1</v>
      </c>
      <c r="E4" s="3">
        <f>C4*D4</f>
        <v/>
      </c>
      <c r="F4" s="2" t="inlineStr">
        <is>
          <t>Given</t>
        </is>
      </c>
      <c r="G4" s="2" t="inlineStr">
        <is>
          <t>https://www.gemfanhobby.com/2520-hurricane-pc-3-blade.html</t>
        </is>
      </c>
    </row>
    <row r="5">
      <c r="A5" s="2" t="inlineStr">
        <is>
          <t>ESC</t>
        </is>
      </c>
      <c r="B5" s="2" t="inlineStr">
        <is>
          <t>DYS XSD 7A (16.2 x 11 x 4 mm)</t>
        </is>
      </c>
      <c r="C5" s="2" t="n">
        <v>4</v>
      </c>
      <c r="D5" s="3" t="n">
        <v>0.83</v>
      </c>
      <c r="E5" s="3">
        <f>C5*D5</f>
        <v/>
      </c>
      <c r="F5" s="2" t="inlineStr">
        <is>
          <t>Given</t>
        </is>
      </c>
      <c r="G5" s="2" t="inlineStr">
        <is>
          <t>https://www.dys.hk/product/XSD%207A.html</t>
        </is>
      </c>
    </row>
    <row r="6">
      <c r="A6" s="2" t="inlineStr">
        <is>
          <t>Flight controller</t>
        </is>
      </c>
      <c r="B6" s="2" t="inlineStr">
        <is>
          <t>Bitcraze Crazyflie Bolt 1.1</t>
        </is>
      </c>
      <c r="C6" s="2" t="n">
        <v>1</v>
      </c>
      <c r="D6" s="3" t="n">
        <v>9.199999999999999</v>
      </c>
      <c r="E6" s="3">
        <f>C6*D6</f>
        <v/>
      </c>
      <c r="F6" s="2" t="inlineStr">
        <is>
          <t>Given</t>
        </is>
      </c>
      <c r="G6" s="2" t="inlineStr">
        <is>
          <t>https://www.bitcraze.io/products/crazyflie-bolt/</t>
        </is>
      </c>
    </row>
    <row r="7">
      <c r="A7" s="2" t="inlineStr">
        <is>
          <t>Sensor deck</t>
        </is>
      </c>
      <c r="B7" s="2" t="inlineStr">
        <is>
          <t>Bitcraze Flow deck v2</t>
        </is>
      </c>
      <c r="C7" s="2" t="n">
        <v>1</v>
      </c>
      <c r="D7" s="3" t="n">
        <v>1.6</v>
      </c>
      <c r="E7" s="3">
        <f>C7*D7</f>
        <v/>
      </c>
      <c r="F7" s="2" t="inlineStr">
        <is>
          <t>Given</t>
        </is>
      </c>
      <c r="G7" s="2" t="inlineStr">
        <is>
          <t>https://www.bitcraze.io/products/flow-deck-v2/</t>
        </is>
      </c>
    </row>
    <row r="8">
      <c r="A8" s="2" t="inlineStr">
        <is>
          <t>Companion computer</t>
        </is>
      </c>
      <c r="B8" s="2" t="inlineStr">
        <is>
          <t>Raspberry Pi Zero 2 W</t>
        </is>
      </c>
      <c r="C8" s="2" t="n">
        <v>1</v>
      </c>
      <c r="D8" s="3" t="n">
        <v>9</v>
      </c>
      <c r="E8" s="3">
        <f>C8*D8</f>
        <v/>
      </c>
      <c r="F8" s="2" t="inlineStr">
        <is>
          <t>Estimate</t>
        </is>
      </c>
      <c r="G8" s="2" t="inlineStr">
        <is>
          <t>size: FR4 65 x 30 x 1.4 mm = 5.0 g, + SiP/shield ~1.5 g, + mini HDMI, 2 x micro USB, SD, camera connectors ~2.5 g</t>
        </is>
      </c>
    </row>
    <row r="9">
      <c r="A9" s="2" t="inlineStr">
        <is>
          <t>Camera</t>
        </is>
      </c>
      <c r="B9" s="2" t="inlineStr">
        <is>
          <t>Waveshare RPi Zero v1.3 camera (flex, adhesive back)</t>
        </is>
      </c>
      <c r="C9" s="2" t="n">
        <v>1</v>
      </c>
      <c r="D9" s="3" t="n">
        <v>0.8</v>
      </c>
      <c r="E9" s="3">
        <f>C9*D9</f>
        <v/>
      </c>
      <c r="F9" s="2" t="inlineStr">
        <is>
          <t>Estimate</t>
        </is>
      </c>
      <c r="G9" s="2" t="inlineStr">
        <is>
          <t>size: lens module 8 x 8 x 5 mm ~0.4 g, + polyimide flex ~60 x 10 x 0.15 mm ~0.15 g, + parts and stiffener ~0.25 g</t>
        </is>
      </c>
    </row>
    <row r="10">
      <c r="A10" s="2" t="inlineStr">
        <is>
          <t>Frame electronics</t>
        </is>
      </c>
      <c r="B10" s="2" t="inlineStr">
        <is>
          <t>charger, protection, 5 V boost, passives on the frame PCB</t>
        </is>
      </c>
      <c r="C10" s="2" t="n">
        <v>1</v>
      </c>
      <c r="D10" s="3" t="n">
        <v>2</v>
      </c>
      <c r="E10" s="3">
        <f>C10*D10</f>
        <v/>
      </c>
      <c r="F10" s="2" t="inlineStr">
        <is>
          <t>Estimate</t>
        </is>
      </c>
      <c r="G10" s="2" t="inlineStr">
        <is>
          <t>guess for a 1S charger IC, protection FETs, 5 V boost inductor and capacitors; depends on the board</t>
        </is>
      </c>
    </row>
    <row r="11">
      <c r="A11" s="2" t="inlineStr">
        <is>
          <t>Wiring</t>
        </is>
      </c>
      <c r="B11" s="2" t="inlineStr">
        <is>
          <t>Bolt motor outputs to the ESC signal pads, solder</t>
        </is>
      </c>
      <c r="C11" s="2" t="n">
        <v>1</v>
      </c>
      <c r="D11" s="3" t="n">
        <v>1</v>
      </c>
      <c r="E11" s="3">
        <f>C11*D11</f>
        <v/>
      </c>
      <c r="F11" s="2" t="inlineStr">
        <is>
          <t>Estimate</t>
        </is>
      </c>
      <c r="G11" s="2" t="inlineStr">
        <is>
          <t>4 short 30 AWG leads + solder; the Pi and Bolt leads are listed with their connectors</t>
        </is>
      </c>
    </row>
    <row r="12">
      <c r="A12" s="2" t="inlineStr">
        <is>
          <t>PCB</t>
        </is>
      </c>
      <c r="B12" s="2" t="inlineStr">
        <is>
          <t>Frame PCB, FR4 1.6 mm, bare (63.2 cm2)</t>
        </is>
      </c>
      <c r="C12" s="2" t="n">
        <v>1</v>
      </c>
      <c r="D12" s="3" t="n">
        <v>20.69</v>
      </c>
      <c r="E12" s="3">
        <f>C12*D12</f>
        <v/>
      </c>
      <c r="F12" s="2" t="inlineStr">
        <is>
          <t>Estimate</t>
        </is>
      </c>
      <c r="G12" s="2" t="inlineStr">
        <is>
          <t>outline area x 1.6 mm x 1.85 g/cm3 = 18.7 g, + copper 2 x 1 oz at 50% = 2.0 g</t>
        </is>
      </c>
    </row>
    <row r="13">
      <c r="A13" s="2" t="inlineStr">
        <is>
          <t>Printed</t>
        </is>
      </c>
      <c r="B13" s="2" t="inlineStr">
        <is>
          <t>Battery cover (Pi posts, camera bosses), PLA Basic</t>
        </is>
      </c>
      <c r="C13" s="2" t="n">
        <v>1</v>
      </c>
      <c r="D13" s="3" t="n">
        <v>7</v>
      </c>
      <c r="E13" s="3">
        <f>C13*D13</f>
        <v/>
      </c>
      <c r="F13" s="2" t="inlineStr">
        <is>
          <t>Estimate</t>
        </is>
      </c>
      <c r="G13" s="2" t="inlineStr">
        <is>
          <t>Bambu Studio slice: H2C, 0.20 mm Standard, 35 % infill, PLA Basic</t>
        </is>
      </c>
    </row>
    <row r="14">
      <c r="A14" s="2" t="inlineStr">
        <is>
          <t>Printed</t>
        </is>
      </c>
      <c r="B14" s="2" t="inlineStr">
        <is>
          <t>Landing gear, PLA Basic</t>
        </is>
      </c>
      <c r="C14" s="2" t="n">
        <v>1</v>
      </c>
      <c r="D14" s="3" t="n">
        <v>4.7</v>
      </c>
      <c r="E14" s="3">
        <f>C14*D14</f>
        <v/>
      </c>
      <c r="F14" s="2" t="inlineStr">
        <is>
          <t>Estimate</t>
        </is>
      </c>
      <c r="G14" s="2" t="inlineStr">
        <is>
          <t>Bambu Studio slice: H2C, 0.20 mm Standard, 35 % infill, PLA Basic</t>
        </is>
      </c>
    </row>
    <row r="15">
      <c r="A15" s="2" t="inlineStr">
        <is>
          <t>Printed</t>
        </is>
      </c>
      <c r="B15" s="2" t="inlineStr">
        <is>
          <t>Camera harness, PLA Basic</t>
        </is>
      </c>
      <c r="C15" s="2" t="n">
        <v>1</v>
      </c>
      <c r="D15" s="3" t="n">
        <v>2</v>
      </c>
      <c r="E15" s="3">
        <f>C15*D15</f>
        <v/>
      </c>
      <c r="F15" s="2" t="inlineStr">
        <is>
          <t>Estimate</t>
        </is>
      </c>
      <c r="G15" s="2" t="inlineStr">
        <is>
          <t>Bambu Studio slice: H2C, 0.20 mm Standard, 35 % infill, PLA Basic</t>
        </is>
      </c>
    </row>
    <row r="16">
      <c r="A16" s="2" t="inlineStr">
        <is>
          <t>Optional: prop guard</t>
        </is>
      </c>
      <c r="B16" s="2" t="inlineStr">
        <is>
          <t>Prop guard (optional), PLA Basic</t>
        </is>
      </c>
      <c r="C16" s="2" t="n">
        <v>1</v>
      </c>
      <c r="D16" s="3" t="n">
        <v>18.5</v>
      </c>
      <c r="E16" s="3">
        <f>C16*D16</f>
        <v/>
      </c>
      <c r="F16" s="2" t="inlineStr">
        <is>
          <t>Estimate</t>
        </is>
      </c>
      <c r="G16" s="2" t="inlineStr">
        <is>
          <t>Bambu Studio slice: H2C, 0.20 mm Standard, 35 % infill, PLA Basic</t>
        </is>
      </c>
    </row>
    <row r="17">
      <c r="A17" s="2" t="inlineStr">
        <is>
          <t>Hardware</t>
        </is>
      </c>
      <c r="B17" s="2" t="inlineStr">
        <is>
          <t>M2 x 8 socket head screw, steel</t>
        </is>
      </c>
      <c r="C17" s="2" t="n">
        <v>4</v>
      </c>
      <c r="D17" s="3" t="n">
        <v>0.31</v>
      </c>
      <c r="E17" s="3">
        <f>C17*D17</f>
        <v/>
      </c>
      <c r="F17" s="2" t="inlineStr">
        <is>
          <t>Estimate</t>
        </is>
      </c>
      <c r="G17" s="2" t="inlineStr">
        <is>
          <t>battery cover + PCB + landing gear; from its dimensions and material</t>
        </is>
      </c>
    </row>
    <row r="18">
      <c r="A18" s="2" t="inlineStr">
        <is>
          <t>Hardware</t>
        </is>
      </c>
      <c r="B18" s="2" t="inlineStr">
        <is>
          <t>M2 heat-set insert, brass</t>
        </is>
      </c>
      <c r="C18" s="2" t="n">
        <v>4</v>
      </c>
      <c r="D18" s="3" t="n">
        <v>0.179</v>
      </c>
      <c r="E18" s="3">
        <f>C18*D18</f>
        <v/>
      </c>
      <c r="F18" s="2" t="inlineStr">
        <is>
          <t>Estimate</t>
        </is>
      </c>
      <c r="G18" s="2" t="inlineStr">
        <is>
          <t>landing gear bosses; from its dimensions and material</t>
        </is>
      </c>
    </row>
    <row r="19">
      <c r="A19" s="2" t="inlineStr">
        <is>
          <t>Hardware</t>
        </is>
      </c>
      <c r="B19" s="2" t="inlineStr">
        <is>
          <t>M2.5 x 5 socket head screw, steel</t>
        </is>
      </c>
      <c r="C19" s="2" t="n">
        <v>4</v>
      </c>
      <c r="D19" s="3" t="n">
        <v>0.413</v>
      </c>
      <c r="E19" s="3">
        <f>C19*D19</f>
        <v/>
      </c>
      <c r="F19" s="2" t="inlineStr">
        <is>
          <t>Estimate</t>
        </is>
      </c>
      <c r="G19" s="2" t="inlineStr">
        <is>
          <t>Pi Zero into the cover posts; from its dimensions and material</t>
        </is>
      </c>
    </row>
    <row r="20">
      <c r="A20" s="2" t="inlineStr">
        <is>
          <t>Hardware</t>
        </is>
      </c>
      <c r="B20" s="2" t="inlineStr">
        <is>
          <t>M2.5 heat-set insert, brass</t>
        </is>
      </c>
      <c r="C20" s="2" t="n">
        <v>4</v>
      </c>
      <c r="D20" s="3" t="n">
        <v>0.26</v>
      </c>
      <c r="E20" s="3">
        <f>C20*D20</f>
        <v/>
      </c>
      <c r="F20" s="2" t="inlineStr">
        <is>
          <t>Estimate</t>
        </is>
      </c>
      <c r="G20" s="2" t="inlineStr">
        <is>
          <t>cover posts; from its dimensions and material</t>
        </is>
      </c>
    </row>
    <row r="21">
      <c r="A21" s="2" t="inlineStr">
        <is>
          <t>Hardware</t>
        </is>
      </c>
      <c r="B21" s="2" t="inlineStr">
        <is>
          <t>M2 x 6 socket head screw, steel</t>
        </is>
      </c>
      <c r="C21" s="2" t="n">
        <v>2</v>
      </c>
      <c r="D21" s="3" t="n">
        <v>0.268</v>
      </c>
      <c r="E21" s="3">
        <f>C21*D21</f>
        <v/>
      </c>
      <c r="F21" s="2" t="inlineStr">
        <is>
          <t>Estimate</t>
        </is>
      </c>
      <c r="G21" s="2" t="inlineStr">
        <is>
          <t>camera harness to the cover; from its dimensions and material</t>
        </is>
      </c>
    </row>
    <row r="22">
      <c r="A22" s="2" t="inlineStr">
        <is>
          <t>Hardware</t>
        </is>
      </c>
      <c r="B22" s="2" t="inlineStr">
        <is>
          <t>M2 heat-set insert, brass</t>
        </is>
      </c>
      <c r="C22" s="2" t="n">
        <v>2</v>
      </c>
      <c r="D22" s="3" t="n">
        <v>0.179</v>
      </c>
      <c r="E22" s="3">
        <f>C22*D22</f>
        <v/>
      </c>
      <c r="F22" s="2" t="inlineStr">
        <is>
          <t>Estimate</t>
        </is>
      </c>
      <c r="G22" s="2" t="inlineStr">
        <is>
          <t>cover front blocks; from its dimensions and material</t>
        </is>
      </c>
    </row>
    <row r="23">
      <c r="A23" s="2" t="inlineStr">
        <is>
          <t>Hardware</t>
        </is>
      </c>
      <c r="B23" s="2" t="inlineStr">
        <is>
          <t>M2 x 3 screw, steel (check against the motor's own)</t>
        </is>
      </c>
      <c r="C23" s="2" t="n">
        <v>16</v>
      </c>
      <c r="D23" s="3" t="n">
        <v>0.17</v>
      </c>
      <c r="E23" s="3">
        <f>C23*D23</f>
        <v/>
      </c>
      <c r="F23" s="2" t="inlineStr">
        <is>
          <t>Estimate</t>
        </is>
      </c>
      <c r="G23" s="2" t="inlineStr">
        <is>
          <t>motors, from under the frame (no guard); from its dimensions and material</t>
        </is>
      </c>
    </row>
    <row r="24">
      <c r="A24" s="2" t="inlineStr">
        <is>
          <t>Hardware</t>
        </is>
      </c>
      <c r="B24" s="2" t="inlineStr">
        <is>
          <t>M2.5 x 5 standoff, female-female, nylon</t>
        </is>
      </c>
      <c r="C24" s="2" t="n">
        <v>4</v>
      </c>
      <c r="D24" s="3" t="n">
        <v>0.095</v>
      </c>
      <c r="E24" s="3">
        <f>C24*D24</f>
        <v/>
      </c>
      <c r="F24" s="2" t="inlineStr">
        <is>
          <t>Estimate</t>
        </is>
      </c>
      <c r="G24" s="2" t="inlineStr">
        <is>
          <t>Bolt under the frame; from its dimensions and material</t>
        </is>
      </c>
    </row>
    <row r="25">
      <c r="A25" s="2" t="inlineStr">
        <is>
          <t>Hardware</t>
        </is>
      </c>
      <c r="B25" s="2" t="inlineStr">
        <is>
          <t>M2.5 x 4 socket head screw, steel</t>
        </is>
      </c>
      <c r="C25" s="2" t="n">
        <v>8</v>
      </c>
      <c r="D25" s="3" t="n">
        <v>0.381</v>
      </c>
      <c r="E25" s="3">
        <f>C25*D25</f>
        <v/>
      </c>
      <c r="F25" s="2" t="inlineStr">
        <is>
          <t>Estimate</t>
        </is>
      </c>
      <c r="G25" s="2" t="inlineStr">
        <is>
          <t>Bolt standoffs, 4 from the frame, 4 from the Bolt; from its dimensions and material</t>
        </is>
      </c>
    </row>
    <row r="26">
      <c r="A26" s="2" t="inlineStr">
        <is>
          <t>Hardware</t>
        </is>
      </c>
      <c r="B26" s="2" t="inlineStr">
        <is>
          <t>Pin header 2.54 mm, per pin</t>
        </is>
      </c>
      <c r="C26" s="2" t="n">
        <v>28</v>
      </c>
      <c r="D26" s="3" t="n">
        <v>0.054</v>
      </c>
      <c r="E26" s="3">
        <f>C26*D26</f>
        <v/>
      </c>
      <c r="F26" s="2" t="inlineStr">
        <is>
          <t>Estimate</t>
        </is>
      </c>
      <c r="G26" s="2" t="inlineStr">
        <is>
          <t>ESCs; from its dimensions and material</t>
        </is>
      </c>
    </row>
    <row r="27">
      <c r="A27" s="2" t="inlineStr">
        <is>
          <t>Connectors</t>
        </is>
      </c>
      <c r="B27" s="2" t="inlineStr">
        <is>
          <t>J1 Pi power: JST PH 2-pin header (5V, GND)</t>
        </is>
      </c>
      <c r="C27" s="2" t="n">
        <v>1</v>
      </c>
      <c r="D27" s="3" t="n">
        <v>0.139</v>
      </c>
      <c r="E27" s="3">
        <f>C27*D27</f>
        <v/>
      </c>
      <c r="F27" s="2" t="inlineStr">
        <is>
          <t>Estimate</t>
        </is>
      </c>
      <c r="G27" s="2" t="inlineStr">
        <is>
          <t>frame top; from its dimensions and material</t>
        </is>
      </c>
    </row>
    <row r="28">
      <c r="A28" s="2" t="inlineStr">
        <is>
          <t>Connectors</t>
        </is>
      </c>
      <c r="B28" s="2" t="inlineStr">
        <is>
          <t>J2 Pi UART: JST GH 3-pin header (TX, RX, GND)</t>
        </is>
      </c>
      <c r="C28" s="2" t="n">
        <v>1</v>
      </c>
      <c r="D28" s="3" t="n">
        <v>0.135</v>
      </c>
      <c r="E28" s="3">
        <f>C28*D28</f>
        <v/>
      </c>
      <c r="F28" s="2" t="inlineStr">
        <is>
          <t>Estimate</t>
        </is>
      </c>
      <c r="G28" s="2" t="inlineStr">
        <is>
          <t>frame top; from its dimensions and material</t>
        </is>
      </c>
    </row>
    <row r="29">
      <c r="A29" s="2" t="inlineStr">
        <is>
          <t>Connectors</t>
        </is>
      </c>
      <c r="B29" s="2" t="inlineStr">
        <is>
          <t>J3 Bolt power: JST PH 2-pin header (VBAT, GND)</t>
        </is>
      </c>
      <c r="C29" s="2" t="n">
        <v>1</v>
      </c>
      <c r="D29" s="3" t="n">
        <v>0.139</v>
      </c>
      <c r="E29" s="3">
        <f>C29*D29</f>
        <v/>
      </c>
      <c r="F29" s="2" t="inlineStr">
        <is>
          <t>Estimate</t>
        </is>
      </c>
      <c r="G29" s="2" t="inlineStr">
        <is>
          <t>frame underside; from its dimensions and material</t>
        </is>
      </c>
    </row>
    <row r="30">
      <c r="A30" s="2" t="inlineStr">
        <is>
          <t>Connectors</t>
        </is>
      </c>
      <c r="B30" s="2" t="inlineStr">
        <is>
          <t>J4 Bolt UART: JST GH 3-pin header (TX, RX, GND)</t>
        </is>
      </c>
      <c r="C30" s="2" t="n">
        <v>1</v>
      </c>
      <c r="D30" s="3" t="n">
        <v>0.135</v>
      </c>
      <c r="E30" s="3">
        <f>C30*D30</f>
        <v/>
      </c>
      <c r="F30" s="2" t="inlineStr">
        <is>
          <t>Estimate</t>
        </is>
      </c>
      <c r="G30" s="2" t="inlineStr">
        <is>
          <t>frame underside; from its dimensions and material</t>
        </is>
      </c>
    </row>
    <row r="31">
      <c r="A31" s="2" t="inlineStr">
        <is>
          <t>Connectors</t>
        </is>
      </c>
      <c r="B31" s="2" t="inlineStr">
        <is>
          <t>J1 Pi power lead, 60 mm, 2 x 26 AWG</t>
        </is>
      </c>
      <c r="C31" s="2" t="n">
        <v>1</v>
      </c>
      <c r="D31" s="3" t="n">
        <v>0.383</v>
      </c>
      <c r="E31" s="3">
        <f>C31*D31</f>
        <v/>
      </c>
      <c r="F31" s="2" t="inlineStr">
        <is>
          <t>Estimate</t>
        </is>
      </c>
      <c r="G31" s="2" t="inlineStr">
        <is>
          <t>to the Pi's GPIO; from its dimensions and material</t>
        </is>
      </c>
    </row>
    <row r="32">
      <c r="A32" s="2" t="inlineStr">
        <is>
          <t>Connectors</t>
        </is>
      </c>
      <c r="B32" s="2" t="inlineStr">
        <is>
          <t>J2 Pi UART lead, 60 mm, 3 x 28 AWG</t>
        </is>
      </c>
      <c r="C32" s="2" t="n">
        <v>1</v>
      </c>
      <c r="D32" s="3" t="n">
        <v>0.287</v>
      </c>
      <c r="E32" s="3">
        <f>C32*D32</f>
        <v/>
      </c>
      <c r="F32" s="2" t="inlineStr">
        <is>
          <t>Estimate</t>
        </is>
      </c>
      <c r="G32" s="2" t="inlineStr">
        <is>
          <t>to the Pi's GPIO; from its dimensions and material</t>
        </is>
      </c>
    </row>
    <row r="33">
      <c r="A33" s="2" t="inlineStr">
        <is>
          <t>Connectors</t>
        </is>
      </c>
      <c r="B33" s="2" t="inlineStr">
        <is>
          <t>J3 Bolt power lead, 60 mm, 2 x 26 AWG</t>
        </is>
      </c>
      <c r="C33" s="2" t="n">
        <v>1</v>
      </c>
      <c r="D33" s="3" t="n">
        <v>0.383</v>
      </c>
      <c r="E33" s="3">
        <f>C33*D33</f>
        <v/>
      </c>
      <c r="F33" s="2" t="inlineStr">
        <is>
          <t>Estimate</t>
        </is>
      </c>
      <c r="G33" s="2" t="inlineStr">
        <is>
          <t>to the Bolt; from its dimensions and material</t>
        </is>
      </c>
    </row>
    <row r="34">
      <c r="A34" s="2" t="inlineStr">
        <is>
          <t>Connectors</t>
        </is>
      </c>
      <c r="B34" s="2" t="inlineStr">
        <is>
          <t>J4 Bolt UART lead, 60 mm, 3 x 28 AWG</t>
        </is>
      </c>
      <c r="C34" s="2" t="n">
        <v>1</v>
      </c>
      <c r="D34" s="3" t="n">
        <v>0.287</v>
      </c>
      <c r="E34" s="3">
        <f>C34*D34</f>
        <v/>
      </c>
      <c r="F34" s="2" t="inlineStr">
        <is>
          <t>Estimate</t>
        </is>
      </c>
      <c r="G34" s="2" t="inlineStr">
        <is>
          <t>to the Bolt; from its dimensions and material</t>
        </is>
      </c>
    </row>
    <row r="35">
      <c r="A35" s="2" t="inlineStr">
        <is>
          <t>Optional: prop guard</t>
        </is>
      </c>
      <c r="B35" s="2" t="inlineStr">
        <is>
          <t>M2 x 5 motor screws instead of M2 x 3 (difference)</t>
        </is>
      </c>
      <c r="C35" s="2" t="n">
        <v>16</v>
      </c>
      <c r="D35" s="3" t="n">
        <v>0.042</v>
      </c>
      <c r="E35" s="3">
        <f>C35*D35</f>
        <v/>
      </c>
      <c r="F35" s="2" t="inlineStr">
        <is>
          <t>Estimate</t>
        </is>
      </c>
      <c r="G35" s="2" t="inlineStr">
        <is>
          <t>through the guard's pads; from its dimensions and material</t>
        </is>
      </c>
    </row>
    <row r="37">
      <c r="B37" s="4" t="inlineStr">
        <is>
          <t>All-up weight, without the prop guard</t>
        </is>
      </c>
      <c r="E37" s="5">
        <f>SUM(E2:E35)-SUMIF(A2:A35,"Optional: prop guard",E2:E35)</f>
        <v/>
      </c>
    </row>
    <row r="38">
      <c r="B38" s="4" t="inlineStr">
        <is>
          <t>All-up weight, with the prop guard</t>
        </is>
      </c>
      <c r="E38" s="5">
        <f>SUM(E2:E35)</f>
        <v/>
      </c>
    </row>
    <row r="39">
      <c r="B39" s="4" t="inlineStr">
        <is>
          <t>of which still estimated (with the guard)</t>
        </is>
      </c>
      <c r="E39" s="6">
        <f>SUMIF(F2:F35,"Estimate",E2:E35)</f>
        <v/>
      </c>
    </row>
    <row r="42">
      <c r="A42" s="4" t="inlineStr">
        <is>
          <t>Category</t>
        </is>
      </c>
      <c r="B42" s="4" t="inlineStr">
        <is>
          <t>Weight (g)</t>
        </is>
      </c>
      <c r="C42" s="4" t="inlineStr">
        <is>
          <t>Share</t>
        </is>
      </c>
    </row>
    <row r="43">
      <c r="A43" t="inlineStr">
        <is>
          <t>Battery</t>
        </is>
      </c>
      <c r="B43" s="7">
        <f>SUMIF(A$2:A$35,A43,E$2:E$35)</f>
        <v/>
      </c>
      <c r="C43" s="8">
        <f>B43/E$38</f>
        <v/>
      </c>
    </row>
    <row r="44">
      <c r="A44" t="inlineStr">
        <is>
          <t>Motor</t>
        </is>
      </c>
      <c r="B44" s="7">
        <f>SUMIF(A$2:A$35,A44,E$2:E$35)</f>
        <v/>
      </c>
      <c r="C44" s="8">
        <f>B44/E$38</f>
        <v/>
      </c>
    </row>
    <row r="45">
      <c r="A45" t="inlineStr">
        <is>
          <t>Propeller</t>
        </is>
      </c>
      <c r="B45" s="7">
        <f>SUMIF(A$2:A$35,A45,E$2:E$35)</f>
        <v/>
      </c>
      <c r="C45" s="8">
        <f>B45/E$38</f>
        <v/>
      </c>
    </row>
    <row r="46">
      <c r="A46" t="inlineStr">
        <is>
          <t>ESC</t>
        </is>
      </c>
      <c r="B46" s="7">
        <f>SUMIF(A$2:A$35,A46,E$2:E$35)</f>
        <v/>
      </c>
      <c r="C46" s="8">
        <f>B46/E$38</f>
        <v/>
      </c>
    </row>
    <row r="47">
      <c r="A47" t="inlineStr">
        <is>
          <t>Flight controller</t>
        </is>
      </c>
      <c r="B47" s="7">
        <f>SUMIF(A$2:A$35,A47,E$2:E$35)</f>
        <v/>
      </c>
      <c r="C47" s="8">
        <f>B47/E$38</f>
        <v/>
      </c>
    </row>
    <row r="48">
      <c r="A48" t="inlineStr">
        <is>
          <t>Sensor deck</t>
        </is>
      </c>
      <c r="B48" s="7">
        <f>SUMIF(A$2:A$35,A48,E$2:E$35)</f>
        <v/>
      </c>
      <c r="C48" s="8">
        <f>B48/E$38</f>
        <v/>
      </c>
    </row>
    <row r="49">
      <c r="A49" t="inlineStr">
        <is>
          <t>Companion computer</t>
        </is>
      </c>
      <c r="B49" s="7">
        <f>SUMIF(A$2:A$35,A49,E$2:E$35)</f>
        <v/>
      </c>
      <c r="C49" s="8">
        <f>B49/E$38</f>
        <v/>
      </c>
    </row>
    <row r="50">
      <c r="A50" t="inlineStr">
        <is>
          <t>Camera</t>
        </is>
      </c>
      <c r="B50" s="7">
        <f>SUMIF(A$2:A$35,A50,E$2:E$35)</f>
        <v/>
      </c>
      <c r="C50" s="8">
        <f>B50/E$38</f>
        <v/>
      </c>
    </row>
    <row r="51">
      <c r="A51" t="inlineStr">
        <is>
          <t>Frame electronics</t>
        </is>
      </c>
      <c r="B51" s="7">
        <f>SUMIF(A$2:A$35,A51,E$2:E$35)</f>
        <v/>
      </c>
      <c r="C51" s="8">
        <f>B51/E$38</f>
        <v/>
      </c>
    </row>
    <row r="52">
      <c r="A52" t="inlineStr">
        <is>
          <t>Wiring</t>
        </is>
      </c>
      <c r="B52" s="7">
        <f>SUMIF(A$2:A$35,A52,E$2:E$35)</f>
        <v/>
      </c>
      <c r="C52" s="8">
        <f>B52/E$38</f>
        <v/>
      </c>
    </row>
    <row r="53">
      <c r="A53" t="inlineStr">
        <is>
          <t>PCB</t>
        </is>
      </c>
      <c r="B53" s="7">
        <f>SUMIF(A$2:A$35,A53,E$2:E$35)</f>
        <v/>
      </c>
      <c r="C53" s="8">
        <f>B53/E$38</f>
        <v/>
      </c>
    </row>
    <row r="54">
      <c r="A54" t="inlineStr">
        <is>
          <t>Printed</t>
        </is>
      </c>
      <c r="B54" s="7">
        <f>SUMIF(A$2:A$35,A54,E$2:E$35)</f>
        <v/>
      </c>
      <c r="C54" s="8">
        <f>B54/E$38</f>
        <v/>
      </c>
    </row>
    <row r="55">
      <c r="A55" t="inlineStr">
        <is>
          <t>Optional: prop guard</t>
        </is>
      </c>
      <c r="B55" s="7">
        <f>SUMIF(A$2:A$35,A55,E$2:E$35)</f>
        <v/>
      </c>
      <c r="C55" s="8">
        <f>B55/E$38</f>
        <v/>
      </c>
    </row>
    <row r="56">
      <c r="A56" t="inlineStr">
        <is>
          <t>Hardware</t>
        </is>
      </c>
      <c r="B56" s="7">
        <f>SUMIF(A$2:A$35,A56,E$2:E$35)</f>
        <v/>
      </c>
      <c r="C56" s="8">
        <f>B56/E$38</f>
        <v/>
      </c>
    </row>
    <row r="57">
      <c r="A57" t="inlineStr">
        <is>
          <t>Connectors</t>
        </is>
      </c>
      <c r="B57" s="7">
        <f>SUMIF(A$2:A$35,A57,E$2:E$35)</f>
        <v/>
      </c>
      <c r="C57" s="8">
        <f>B57/E$38</f>
        <v/>
      </c>
    </row>
  </sheetData>
  <conditionalFormatting sqref="A2:G35">
    <cfRule type="expression" priority="1" dxfId="0">
      <formula>$F2="Estimate"</formula>
    </cfRule>
  </conditionalFormatting>
  <dataValidations count="1">
    <dataValidation sqref="F2:F35" showDropDown="0" showInputMessage="0" showErrorMessage="0" allowBlank="0" type="list">
      <formula1>"Given,Estimate,Weighed"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2026-09-29T18:31:43Z</dcterms:created>
  <dcterms:modified xsi:type="dcterms:W3CDTF">2026-09-29T18:31:43Z</dcterms:modified>
</cp:coreProperties>
</file>